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ffing plan" sheetId="1" state="visible" r:id="rId3"/>
    <sheet name="Pod summary" sheetId="2" state="visible" r:id="rId4"/>
    <sheet name="Assumptions" sheetId="3" state="visible" r:id="rId5"/>
    <sheet name="Client-provided" sheetId="4" state="visible" r:id="rId6"/>
    <sheet name="Risks and options" sheetId="5" state="visible" r:id="rId7"/>
  </sheets>
  <definedNames>
    <definedName function="false" hidden="true" localSheetId="0" name="_xlnm._FilterDatabase" vbProcedure="false">'Staffing plan'!$A$4:$L$34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<sst xmlns="http://schemas.openxmlformats.org/spreadsheetml/2006/main" count="253" uniqueCount="137">
  <si>
    <t xml:space="preserve">Epic and Salesforce CRM and patient care program: best-case staffing plan</t>
  </si>
  <si>
    <t xml:space="preserve">FTE by phase. Blue values are inputs; edit them and totals recalculate.</t>
  </si>
  <si>
    <t xml:space="preserve">#</t>
  </si>
  <si>
    <t xml:space="preserve">Group</t>
  </si>
  <si>
    <t xml:space="preserve">Role</t>
  </si>
  <si>
    <t xml:space="preserve">Pod</t>
  </si>
  <si>
    <t xml:space="preserve">Level</t>
  </si>
  <si>
    <t xml:space="preserve">Location</t>
  </si>
  <si>
    <t xml:space="preserve">Key skills</t>
  </si>
  <si>
    <t xml:space="preserve">Discovery and design</t>
  </si>
  <si>
    <t xml:space="preserve">Build</t>
  </si>
  <si>
    <t xml:space="preserve">Test</t>
  </si>
  <si>
    <t xml:space="preserve">Deploy and hypercare</t>
  </si>
  <si>
    <t xml:space="preserve">Avg FTE</t>
  </si>
  <si>
    <t xml:space="preserve">Leadership and architecture</t>
  </si>
  <si>
    <t xml:space="preserve">Program manager leader</t>
  </si>
  <si>
    <t xml:space="preserve">All</t>
  </si>
  <si>
    <t xml:space="preserve">Senior manager</t>
  </si>
  <si>
    <t xml:space="preserve">Onshore</t>
  </si>
  <si>
    <t xml:space="preserve">Healthcare program delivery, multi-vendor governance, Epic and Salesforce programs</t>
  </si>
  <si>
    <t xml:space="preserve">Solution architect</t>
  </si>
  <si>
    <t xml:space="preserve">Manager / senior manager</t>
  </si>
  <si>
    <t xml:space="preserve">End-to-end solution design, Health Cloud, Epic touchpoints, discovery leadership</t>
  </si>
  <si>
    <t xml:space="preserve">Technical architect (Salesforce)</t>
  </si>
  <si>
    <t xml:space="preserve">Manager</t>
  </si>
  <si>
    <t xml:space="preserve">Salesforce platform architecture, Health Cloud data model, sharing, scale</t>
  </si>
  <si>
    <t xml:space="preserve">Integration architect (Epic interoperability)</t>
  </si>
  <si>
    <t xml:space="preserve">FHIR, HL7 v2, Epic APIs, middleware patterns, event-driven integration</t>
  </si>
  <si>
    <t xml:space="preserve">Data architect</t>
  </si>
  <si>
    <t xml:space="preserve">Senior consultant / manager</t>
  </si>
  <si>
    <t xml:space="preserve">Patient identity matching, data migration strategy, Data Cloud, analytics</t>
  </si>
  <si>
    <t xml:space="preserve">Security architect</t>
  </si>
  <si>
    <t xml:space="preserve">Senior consultant</t>
  </si>
  <si>
    <t xml:space="preserve">PHI access model, Shield and encryption, field-level security, audit</t>
  </si>
  <si>
    <t xml:space="preserve">Epic application analyst</t>
  </si>
  <si>
    <t xml:space="preserve">Billing and revenue</t>
  </si>
  <si>
    <t xml:space="preserve">Epic certified: Resolute, Cadence, MyChart</t>
  </si>
  <si>
    <t xml:space="preserve">Functional and design</t>
  </si>
  <si>
    <t xml:space="preserve">Business analyst, CRM</t>
  </si>
  <si>
    <t xml:space="preserve">CRM</t>
  </si>
  <si>
    <t xml:space="preserve">Consultant / senior consultant</t>
  </si>
  <si>
    <t xml:space="preserve">Requirements, user stories, patient engagement and service processes</t>
  </si>
  <si>
    <t xml:space="preserve">Business analyst, patient care</t>
  </si>
  <si>
    <t xml:space="preserve">Patient care</t>
  </si>
  <si>
    <t xml:space="preserve">Care coordination, care plans, scheduling workflows</t>
  </si>
  <si>
    <t xml:space="preserve">Business analyst, billing and revenue</t>
  </si>
  <si>
    <t xml:space="preserve">Revenue cycle, patient estimates, payments, Epic billing touchpoints</t>
  </si>
  <si>
    <t xml:space="preserve">UX designer</t>
  </si>
  <si>
    <t xml:space="preserve">Patient and staff experience design, accessibility</t>
  </si>
  <si>
    <t xml:space="preserve">Delivery pods</t>
  </si>
  <si>
    <t xml:space="preserve">Dev lead, CRM</t>
  </si>
  <si>
    <t xml:space="preserve">Salesforce development lead, Health Cloud, Service Cloud</t>
  </si>
  <si>
    <t xml:space="preserve">Salesforce developer, CRM 1</t>
  </si>
  <si>
    <t xml:space="preserve">Consultant</t>
  </si>
  <si>
    <t xml:space="preserve">Offshore</t>
  </si>
  <si>
    <t xml:space="preserve">Apex, LWC, Flow, Health Cloud</t>
  </si>
  <si>
    <t xml:space="preserve">Salesforce developer, CRM 2</t>
  </si>
  <si>
    <t xml:space="preserve">Apex, LWC, Flow, Experience Cloud</t>
  </si>
  <si>
    <t xml:space="preserve">Dev lead, patient care</t>
  </si>
  <si>
    <t xml:space="preserve">Salesforce development lead, Health Cloud care management</t>
  </si>
  <si>
    <t xml:space="preserve">Salesforce developer, patient care 1</t>
  </si>
  <si>
    <t xml:space="preserve">Salesforce developer, patient care 2</t>
  </si>
  <si>
    <t xml:space="preserve">Apex, LWC, Flow, scheduling</t>
  </si>
  <si>
    <t xml:space="preserve">Dev lead, billing and revenue</t>
  </si>
  <si>
    <t xml:space="preserve">Salesforce development lead, integration-heavy, payments</t>
  </si>
  <si>
    <t xml:space="preserve">Salesforce developer, billing and revenue</t>
  </si>
  <si>
    <t xml:space="preserve">Apex, LWC, Flow, payments</t>
  </si>
  <si>
    <t xml:space="preserve">Integration developer, billing and revenue</t>
  </si>
  <si>
    <t xml:space="preserve">APIs, middleware, FHIR resources (synthetic data)</t>
  </si>
  <si>
    <t xml:space="preserve">Platform services</t>
  </si>
  <si>
    <t xml:space="preserve">Integration developer (FHIR/HL7, middleware)</t>
  </si>
  <si>
    <t xml:space="preserve">FHIR, HL7 v2, middleware build, Epic interface testing</t>
  </si>
  <si>
    <t xml:space="preserve">Data migration developer</t>
  </si>
  <si>
    <t xml:space="preserve">ETL, data loads, reconciliation, identity matching</t>
  </si>
  <si>
    <t xml:space="preserve">DevOps / release engineer</t>
  </si>
  <si>
    <t xml:space="preserve">CI/CD, source control, environment strategy, release management</t>
  </si>
  <si>
    <t xml:space="preserve">Testing</t>
  </si>
  <si>
    <t xml:space="preserve">Test lead</t>
  </si>
  <si>
    <t xml:space="preserve">Test strategy, SIT and UAT management, defect governance</t>
  </si>
  <si>
    <t xml:space="preserve">Test automation engineer</t>
  </si>
  <si>
    <t xml:space="preserve">Salesforce test automation, regression suites</t>
  </si>
  <si>
    <t xml:space="preserve">Test data and environment analyst</t>
  </si>
  <si>
    <t xml:space="preserve">Synthetic and de-identified data, environment readiness</t>
  </si>
  <si>
    <t xml:space="preserve">Integration tester (Epic to Salesforce)</t>
  </si>
  <si>
    <t xml:space="preserve">End-to-end interface testing with PHI-bound data</t>
  </si>
  <si>
    <t xml:space="preserve">Functional tester 1</t>
  </si>
  <si>
    <t xml:space="preserve">Analyst / consultant</t>
  </si>
  <si>
    <t xml:space="preserve">Functional and regression testing, synthetic data</t>
  </si>
  <si>
    <t xml:space="preserve">Functional tester 2</t>
  </si>
  <si>
    <t xml:space="preserve">Change and adoption</t>
  </si>
  <si>
    <t xml:space="preserve">OCM and training lead</t>
  </si>
  <si>
    <t xml:space="preserve">Manager / senior consultant</t>
  </si>
  <si>
    <t xml:space="preserve">Clinical adoption, training design, communications</t>
  </si>
  <si>
    <t xml:space="preserve">Total FTE</t>
  </si>
  <si>
    <t xml:space="preserve">Onshore FTE</t>
  </si>
  <si>
    <t xml:space="preserve">Offshore FTE</t>
  </si>
  <si>
    <t xml:space="preserve">Named roles</t>
  </si>
  <si>
    <t xml:space="preserve">Build-phase headcount and FTE by pod</t>
  </si>
  <si>
    <t xml:space="preserve">Onshore roles</t>
  </si>
  <si>
    <t xml:space="preserve">Offshore roles</t>
  </si>
  <si>
    <t xml:space="preserve">Build FTE</t>
  </si>
  <si>
    <t xml:space="preserve">Shared (all pods)</t>
  </si>
  <si>
    <t xml:space="preserve">Total</t>
  </si>
  <si>
    <t xml:space="preserve">Planning assumptions</t>
  </si>
  <si>
    <t xml:space="preserve">Assumption</t>
  </si>
  <si>
    <t xml:space="preserve">Source</t>
  </si>
  <si>
    <t xml:space="preserve">Phases: discovery and design (~10 weeks), build (~6 sprints), test (SIT and UAT), deploy and hypercare</t>
  </si>
  <si>
    <t xml:space="preserve">Planning assumption</t>
  </si>
  <si>
    <t xml:space="preserve">Stack finalizes during discovery; Epic plus Salesforce is the working assumption</t>
  </si>
  <si>
    <t xml:space="preserve">User</t>
  </si>
  <si>
    <t xml:space="preserve">Client restricts PHI from leaving the country; offshore roles work with synthetic or de-identified data</t>
  </si>
  <si>
    <t xml:space="preserve">Onshore required where a role touches production PHI, runs client workshops, or owns Epic integration testing</t>
  </si>
  <si>
    <t xml:space="preserve">Unified testing team: one test lead plus five testers</t>
  </si>
  <si>
    <t xml:space="preserve">Three delivery pods: CRM, patient care modules, billing and revenue</t>
  </si>
  <si>
    <t xml:space="preserve">FTE values are planning estimates by phase; Avg FTE is a simple average across the four phases, not duration-weighted</t>
  </si>
  <si>
    <t xml:space="preserve">Client-provided roles (assumed, not staffed by us)</t>
  </si>
  <si>
    <t xml:space="preserve">Notes</t>
  </si>
  <si>
    <t xml:space="preserve">Executive sponsor</t>
  </si>
  <si>
    <t xml:space="preserve">Decision authority and escalation</t>
  </si>
  <si>
    <t xml:space="preserve">Product owner, one per pod</t>
  </si>
  <si>
    <t xml:space="preserve">Backlog ownership and acceptance</t>
  </si>
  <si>
    <t xml:space="preserve">Clinical informaticist or clinical SME</t>
  </si>
  <si>
    <t xml:space="preserve">Clinical workflow validation</t>
  </si>
  <si>
    <t xml:space="preserve">Client Epic analysts and Epic integration team</t>
  </si>
  <si>
    <t xml:space="preserve">Works alongside the Epic application analyst</t>
  </si>
  <si>
    <t xml:space="preserve">Compliance and privacy officer</t>
  </si>
  <si>
    <t xml:space="preserve">Sign-off on PHI access model and data handling</t>
  </si>
  <si>
    <t xml:space="preserve">Expected pushback and options</t>
  </si>
  <si>
    <t xml:space="preserve">Item</t>
  </si>
  <si>
    <t xml:space="preserve">Detail</t>
  </si>
  <si>
    <t xml:space="preserve">Plan size</t>
  </si>
  <si>
    <t xml:space="preserve">30 roles is heavy before the stack is chosen. Minimum viable version moves UX, security architect and data architect to fractional shared resources and folds the test data role into the test lead (about 24 roles).</t>
  </si>
  <si>
    <t xml:space="preserve">Hardest role to fill internally because Epic certification requires organizational sponsorship. Good test case for the matcher's no-strong-match behavior.</t>
  </si>
  <si>
    <t xml:space="preserve">Pod sizing</t>
  </si>
  <si>
    <t xml:space="preserve">Original plan had 2 onshore leads and 4 offshore developers across 3 pods. This plan uses 3 leads and 6 developers so every pod is led and evenly staffed.</t>
  </si>
  <si>
    <t xml:space="preserve">Testing ratio</t>
  </si>
  <si>
    <t xml:space="preserve">Testing headcount roughly equals development; automation and test data roles justify the ratio for healthcare regression and UAT.</t>
  </si>
</sst>
</file>

<file path=xl/styles.xml><?xml version="1.0" encoding="utf-8"?>
<styleSheet xmlns="http://schemas.openxmlformats.org/spreadsheetml/2006/main">
  <numFmts count="5">
    <numFmt numFmtId="164" formatCode="General"/>
    <numFmt numFmtId="165" formatCode="0.00;\-0.00;\-"/>
    <numFmt numFmtId="166" formatCode="0.00"/>
    <numFmt numFmtId="167" formatCode="0"/>
    <numFmt numFmtId="168" formatCode="General"/>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b val="true"/>
      <sz val="11"/>
      <color rgb="FFFFFFFF"/>
      <name val="Arial"/>
      <family val="0"/>
      <charset val="1"/>
    </font>
    <font>
      <sz val="11"/>
      <name val="Arial"/>
      <family val="0"/>
      <charset val="1"/>
    </font>
    <font>
      <sz val="11"/>
      <color rgb="FF0000FF"/>
      <name val="Arial"/>
      <family val="0"/>
      <charset val="1"/>
    </font>
    <font>
      <b val="true"/>
      <sz val="11"/>
      <name val="Arial"/>
      <family val="0"/>
      <charset val="1"/>
    </font>
    <font>
      <sz val="11"/>
      <color rgb="FF000000"/>
      <name val="Arial"/>
      <family val="0"/>
      <charset val="1"/>
    </font>
    <font>
      <sz val="11"/>
      <color rgb="FF008000"/>
      <name val="Arial"/>
      <family val="0"/>
      <charset val="1"/>
    </font>
    <font>
      <sz val="11"/>
      <color rgb="FFFFFFFF"/>
      <name val="Arial"/>
      <family val="0"/>
      <charset val="1"/>
    </font>
  </fonts>
  <fills count="4">
    <fill>
      <patternFill patternType="none"/>
    </fill>
    <fill>
      <patternFill patternType="gray125"/>
    </fill>
    <fill>
      <patternFill patternType="solid">
        <fgColor rgb="FF0F62FE"/>
        <bgColor rgb="FF3366FF"/>
      </patternFill>
    </fill>
    <fill>
      <patternFill patternType="solid">
        <fgColor rgb="FFD9D9D9"/>
        <bgColor rgb="FFBFBFB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7" fontId="9" fillId="3"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0F62FE"/>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F62FE"/>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40"/>
    <col collapsed="false" customWidth="true" hidden="false" outlineLevel="0" max="4" min="4" style="0" width="18"/>
    <col collapsed="false" customWidth="true" hidden="false" outlineLevel="0" max="5" min="5" style="0" width="24"/>
    <col collapsed="false" customWidth="true" hidden="false" outlineLevel="0" max="6" min="6" style="0" width="11"/>
    <col collapsed="false" customWidth="true" hidden="false" outlineLevel="0" max="7" min="7" style="0" width="55"/>
    <col collapsed="false" customWidth="true" hidden="false" outlineLevel="0" max="8" min="8" style="0" width="13"/>
    <col collapsed="false" customWidth="true" hidden="false" outlineLevel="0" max="10" min="9" style="0" width="9"/>
    <col collapsed="false" customWidth="true" hidden="false" outlineLevel="0" max="11" min="11" style="0" width="13"/>
    <col collapsed="false" customWidth="true" hidden="false" outlineLevel="0" max="12" min="12" style="0" width="9"/>
  </cols>
  <sheetData>
    <row r="1" customFormat="false" ht="17.35" hidden="false" customHeight="false" outlineLevel="0" collapsed="false">
      <c r="A1" s="1" t="s">
        <v>0</v>
      </c>
    </row>
    <row r="2" customFormat="false" ht="15" hidden="false" customHeight="false" outlineLevel="0" collapsed="false">
      <c r="A2" s="2" t="s">
        <v>1</v>
      </c>
    </row>
    <row r="4" customFormat="false" ht="52.2" hidden="false" customHeight="false" outlineLevel="0" collapsed="false">
      <c r="A4" s="3" t="s">
        <v>2</v>
      </c>
      <c r="B4" s="3" t="s">
        <v>3</v>
      </c>
      <c r="C4" s="3" t="s">
        <v>4</v>
      </c>
      <c r="D4" s="3" t="s">
        <v>5</v>
      </c>
      <c r="E4" s="3" t="s">
        <v>6</v>
      </c>
      <c r="F4" s="3" t="s">
        <v>7</v>
      </c>
      <c r="G4" s="3" t="s">
        <v>8</v>
      </c>
      <c r="H4" s="3" t="s">
        <v>9</v>
      </c>
      <c r="I4" s="3" t="s">
        <v>10</v>
      </c>
      <c r="J4" s="3" t="s">
        <v>11</v>
      </c>
      <c r="K4" s="3" t="s">
        <v>12</v>
      </c>
      <c r="L4" s="3" t="s">
        <v>13</v>
      </c>
    </row>
    <row r="5" customFormat="false" ht="26.85" hidden="false" customHeight="false" outlineLevel="0" collapsed="false">
      <c r="A5" s="4" t="n">
        <v>1</v>
      </c>
      <c r="B5" s="4" t="s">
        <v>14</v>
      </c>
      <c r="C5" s="4" t="s">
        <v>15</v>
      </c>
      <c r="D5" s="4" t="s">
        <v>16</v>
      </c>
      <c r="E5" s="4" t="s">
        <v>17</v>
      </c>
      <c r="F5" s="4" t="s">
        <v>18</v>
      </c>
      <c r="G5" s="4" t="s">
        <v>19</v>
      </c>
      <c r="H5" s="5" t="n">
        <v>1</v>
      </c>
      <c r="I5" s="5" t="n">
        <v>1</v>
      </c>
      <c r="J5" s="5" t="n">
        <v>1</v>
      </c>
      <c r="K5" s="5" t="n">
        <v>1</v>
      </c>
      <c r="L5" s="6" t="n">
        <f aca="false">AVERAGE(H5:K5)</f>
        <v>1</v>
      </c>
    </row>
    <row r="6" customFormat="false" ht="26.85" hidden="false" customHeight="false" outlineLevel="0" collapsed="false">
      <c r="A6" s="4" t="n">
        <v>2</v>
      </c>
      <c r="B6" s="4" t="s">
        <v>14</v>
      </c>
      <c r="C6" s="4" t="s">
        <v>20</v>
      </c>
      <c r="D6" s="4" t="s">
        <v>16</v>
      </c>
      <c r="E6" s="4" t="s">
        <v>21</v>
      </c>
      <c r="F6" s="4" t="s">
        <v>18</v>
      </c>
      <c r="G6" s="4" t="s">
        <v>22</v>
      </c>
      <c r="H6" s="5" t="n">
        <v>1</v>
      </c>
      <c r="I6" s="5" t="n">
        <v>1</v>
      </c>
      <c r="J6" s="5" t="n">
        <v>0.5</v>
      </c>
      <c r="K6" s="5" t="n">
        <v>0.5</v>
      </c>
      <c r="L6" s="6" t="n">
        <f aca="false">AVERAGE(H6:K6)</f>
        <v>0.75</v>
      </c>
    </row>
    <row r="7" customFormat="false" ht="26.85" hidden="false" customHeight="false" outlineLevel="0" collapsed="false">
      <c r="A7" s="4" t="n">
        <v>3</v>
      </c>
      <c r="B7" s="4" t="s">
        <v>14</v>
      </c>
      <c r="C7" s="4" t="s">
        <v>23</v>
      </c>
      <c r="D7" s="4" t="s">
        <v>16</v>
      </c>
      <c r="E7" s="4" t="s">
        <v>24</v>
      </c>
      <c r="F7" s="4" t="s">
        <v>18</v>
      </c>
      <c r="G7" s="4" t="s">
        <v>25</v>
      </c>
      <c r="H7" s="5" t="n">
        <v>1</v>
      </c>
      <c r="I7" s="5" t="n">
        <v>1</v>
      </c>
      <c r="J7" s="5" t="n">
        <v>0.5</v>
      </c>
      <c r="K7" s="5" t="n">
        <v>0.5</v>
      </c>
      <c r="L7" s="6" t="n">
        <f aca="false">AVERAGE(H7:K7)</f>
        <v>0.75</v>
      </c>
    </row>
    <row r="8" customFormat="false" ht="26.85" hidden="false" customHeight="false" outlineLevel="0" collapsed="false">
      <c r="A8" s="4" t="n">
        <v>4</v>
      </c>
      <c r="B8" s="4" t="s">
        <v>14</v>
      </c>
      <c r="C8" s="4" t="s">
        <v>26</v>
      </c>
      <c r="D8" s="4" t="s">
        <v>16</v>
      </c>
      <c r="E8" s="4" t="s">
        <v>24</v>
      </c>
      <c r="F8" s="4" t="s">
        <v>18</v>
      </c>
      <c r="G8" s="4" t="s">
        <v>27</v>
      </c>
      <c r="H8" s="5" t="n">
        <v>1</v>
      </c>
      <c r="I8" s="5" t="n">
        <v>1</v>
      </c>
      <c r="J8" s="5" t="n">
        <v>0.5</v>
      </c>
      <c r="K8" s="5" t="n">
        <v>0.25</v>
      </c>
      <c r="L8" s="6" t="n">
        <f aca="false">AVERAGE(H8:K8)</f>
        <v>0.6875</v>
      </c>
    </row>
    <row r="9" customFormat="false" ht="26.85" hidden="false" customHeight="false" outlineLevel="0" collapsed="false">
      <c r="A9" s="4" t="n">
        <v>5</v>
      </c>
      <c r="B9" s="4" t="s">
        <v>14</v>
      </c>
      <c r="C9" s="4" t="s">
        <v>28</v>
      </c>
      <c r="D9" s="4" t="s">
        <v>16</v>
      </c>
      <c r="E9" s="4" t="s">
        <v>29</v>
      </c>
      <c r="F9" s="4" t="s">
        <v>18</v>
      </c>
      <c r="G9" s="4" t="s">
        <v>30</v>
      </c>
      <c r="H9" s="5" t="n">
        <v>0.5</v>
      </c>
      <c r="I9" s="5" t="n">
        <v>1</v>
      </c>
      <c r="J9" s="5" t="n">
        <v>0.5</v>
      </c>
      <c r="K9" s="5" t="n">
        <v>0.25</v>
      </c>
      <c r="L9" s="6" t="n">
        <f aca="false">AVERAGE(H9:K9)</f>
        <v>0.5625</v>
      </c>
    </row>
    <row r="10" customFormat="false" ht="26.85" hidden="false" customHeight="false" outlineLevel="0" collapsed="false">
      <c r="A10" s="4" t="n">
        <v>6</v>
      </c>
      <c r="B10" s="4" t="s">
        <v>14</v>
      </c>
      <c r="C10" s="4" t="s">
        <v>31</v>
      </c>
      <c r="D10" s="4" t="s">
        <v>16</v>
      </c>
      <c r="E10" s="4" t="s">
        <v>32</v>
      </c>
      <c r="F10" s="4" t="s">
        <v>18</v>
      </c>
      <c r="G10" s="4" t="s">
        <v>33</v>
      </c>
      <c r="H10" s="5" t="n">
        <v>0.5</v>
      </c>
      <c r="I10" s="5" t="n">
        <v>0.25</v>
      </c>
      <c r="J10" s="5" t="n">
        <v>0.25</v>
      </c>
      <c r="K10" s="5" t="n">
        <v>0.25</v>
      </c>
      <c r="L10" s="6" t="n">
        <f aca="false">AVERAGE(H10:K10)</f>
        <v>0.3125</v>
      </c>
    </row>
    <row r="11" customFormat="false" ht="26.85" hidden="false" customHeight="false" outlineLevel="0" collapsed="false">
      <c r="A11" s="4" t="n">
        <v>7</v>
      </c>
      <c r="B11" s="4" t="s">
        <v>14</v>
      </c>
      <c r="C11" s="4" t="s">
        <v>34</v>
      </c>
      <c r="D11" s="4" t="s">
        <v>35</v>
      </c>
      <c r="E11" s="4" t="s">
        <v>32</v>
      </c>
      <c r="F11" s="4" t="s">
        <v>18</v>
      </c>
      <c r="G11" s="4" t="s">
        <v>36</v>
      </c>
      <c r="H11" s="5" t="n">
        <v>1</v>
      </c>
      <c r="I11" s="5" t="n">
        <v>1</v>
      </c>
      <c r="J11" s="5" t="n">
        <v>0.5</v>
      </c>
      <c r="K11" s="5" t="n">
        <v>0.5</v>
      </c>
      <c r="L11" s="6" t="n">
        <f aca="false">AVERAGE(H11:K11)</f>
        <v>0.75</v>
      </c>
    </row>
    <row r="12" customFormat="false" ht="26.85" hidden="false" customHeight="false" outlineLevel="0" collapsed="false">
      <c r="A12" s="4" t="n">
        <v>8</v>
      </c>
      <c r="B12" s="4" t="s">
        <v>37</v>
      </c>
      <c r="C12" s="4" t="s">
        <v>38</v>
      </c>
      <c r="D12" s="4" t="s">
        <v>39</v>
      </c>
      <c r="E12" s="4" t="s">
        <v>40</v>
      </c>
      <c r="F12" s="4" t="s">
        <v>18</v>
      </c>
      <c r="G12" s="4" t="s">
        <v>41</v>
      </c>
      <c r="H12" s="5" t="n">
        <v>1</v>
      </c>
      <c r="I12" s="5" t="n">
        <v>1</v>
      </c>
      <c r="J12" s="5" t="n">
        <v>0.5</v>
      </c>
      <c r="K12" s="5" t="n">
        <v>0.25</v>
      </c>
      <c r="L12" s="6" t="n">
        <f aca="false">AVERAGE(H12:K12)</f>
        <v>0.6875</v>
      </c>
    </row>
    <row r="13" customFormat="false" ht="26.85" hidden="false" customHeight="false" outlineLevel="0" collapsed="false">
      <c r="A13" s="4" t="n">
        <v>9</v>
      </c>
      <c r="B13" s="4" t="s">
        <v>37</v>
      </c>
      <c r="C13" s="4" t="s">
        <v>42</v>
      </c>
      <c r="D13" s="4" t="s">
        <v>43</v>
      </c>
      <c r="E13" s="4" t="s">
        <v>40</v>
      </c>
      <c r="F13" s="4" t="s">
        <v>18</v>
      </c>
      <c r="G13" s="4" t="s">
        <v>44</v>
      </c>
      <c r="H13" s="5" t="n">
        <v>1</v>
      </c>
      <c r="I13" s="5" t="n">
        <v>1</v>
      </c>
      <c r="J13" s="5" t="n">
        <v>0.5</v>
      </c>
      <c r="K13" s="5" t="n">
        <v>0.25</v>
      </c>
      <c r="L13" s="6" t="n">
        <f aca="false">AVERAGE(H13:K13)</f>
        <v>0.6875</v>
      </c>
    </row>
    <row r="14" customFormat="false" ht="26.85" hidden="false" customHeight="false" outlineLevel="0" collapsed="false">
      <c r="A14" s="4" t="n">
        <v>10</v>
      </c>
      <c r="B14" s="4" t="s">
        <v>37</v>
      </c>
      <c r="C14" s="4" t="s">
        <v>45</v>
      </c>
      <c r="D14" s="4" t="s">
        <v>35</v>
      </c>
      <c r="E14" s="4" t="s">
        <v>32</v>
      </c>
      <c r="F14" s="4" t="s">
        <v>18</v>
      </c>
      <c r="G14" s="4" t="s">
        <v>46</v>
      </c>
      <c r="H14" s="5" t="n">
        <v>1</v>
      </c>
      <c r="I14" s="5" t="n">
        <v>1</v>
      </c>
      <c r="J14" s="5" t="n">
        <v>0.5</v>
      </c>
      <c r="K14" s="5" t="n">
        <v>0.25</v>
      </c>
      <c r="L14" s="6" t="n">
        <f aca="false">AVERAGE(H14:K14)</f>
        <v>0.6875</v>
      </c>
    </row>
    <row r="15" customFormat="false" ht="15" hidden="false" customHeight="false" outlineLevel="0" collapsed="false">
      <c r="A15" s="4" t="n">
        <v>11</v>
      </c>
      <c r="B15" s="4" t="s">
        <v>37</v>
      </c>
      <c r="C15" s="4" t="s">
        <v>47</v>
      </c>
      <c r="D15" s="4" t="s">
        <v>16</v>
      </c>
      <c r="E15" s="4" t="s">
        <v>32</v>
      </c>
      <c r="F15" s="4" t="s">
        <v>18</v>
      </c>
      <c r="G15" s="4" t="s">
        <v>48</v>
      </c>
      <c r="H15" s="5" t="n">
        <v>1</v>
      </c>
      <c r="I15" s="5" t="n">
        <v>0.5</v>
      </c>
      <c r="J15" s="5" t="n">
        <v>0</v>
      </c>
      <c r="K15" s="5" t="n">
        <v>0</v>
      </c>
      <c r="L15" s="6" t="n">
        <f aca="false">AVERAGE(H15:K15)</f>
        <v>0.375</v>
      </c>
    </row>
    <row r="16" customFormat="false" ht="15" hidden="false" customHeight="false" outlineLevel="0" collapsed="false">
      <c r="A16" s="4" t="n">
        <v>12</v>
      </c>
      <c r="B16" s="4" t="s">
        <v>49</v>
      </c>
      <c r="C16" s="4" t="s">
        <v>50</v>
      </c>
      <c r="D16" s="4" t="s">
        <v>39</v>
      </c>
      <c r="E16" s="4" t="s">
        <v>32</v>
      </c>
      <c r="F16" s="4" t="s">
        <v>18</v>
      </c>
      <c r="G16" s="4" t="s">
        <v>51</v>
      </c>
      <c r="H16" s="5" t="n">
        <v>1</v>
      </c>
      <c r="I16" s="5" t="n">
        <v>1</v>
      </c>
      <c r="J16" s="5" t="n">
        <v>0.5</v>
      </c>
      <c r="K16" s="5" t="n">
        <v>0.5</v>
      </c>
      <c r="L16" s="6" t="n">
        <f aca="false">AVERAGE(H16:K16)</f>
        <v>0.75</v>
      </c>
    </row>
    <row r="17" customFormat="false" ht="15" hidden="false" customHeight="false" outlineLevel="0" collapsed="false">
      <c r="A17" s="4" t="n">
        <v>13</v>
      </c>
      <c r="B17" s="4" t="s">
        <v>49</v>
      </c>
      <c r="C17" s="4" t="s">
        <v>52</v>
      </c>
      <c r="D17" s="4" t="s">
        <v>39</v>
      </c>
      <c r="E17" s="4" t="s">
        <v>53</v>
      </c>
      <c r="F17" s="4" t="s">
        <v>54</v>
      </c>
      <c r="G17" s="4" t="s">
        <v>55</v>
      </c>
      <c r="H17" s="5" t="n">
        <v>0</v>
      </c>
      <c r="I17" s="5" t="n">
        <v>1</v>
      </c>
      <c r="J17" s="5" t="n">
        <v>0.5</v>
      </c>
      <c r="K17" s="5" t="n">
        <v>0</v>
      </c>
      <c r="L17" s="6" t="n">
        <f aca="false">AVERAGE(H17:K17)</f>
        <v>0.375</v>
      </c>
    </row>
    <row r="18" customFormat="false" ht="15" hidden="false" customHeight="false" outlineLevel="0" collapsed="false">
      <c r="A18" s="4" t="n">
        <v>14</v>
      </c>
      <c r="B18" s="4" t="s">
        <v>49</v>
      </c>
      <c r="C18" s="4" t="s">
        <v>56</v>
      </c>
      <c r="D18" s="4" t="s">
        <v>39</v>
      </c>
      <c r="E18" s="4" t="s">
        <v>53</v>
      </c>
      <c r="F18" s="4" t="s">
        <v>54</v>
      </c>
      <c r="G18" s="4" t="s">
        <v>57</v>
      </c>
      <c r="H18" s="5" t="n">
        <v>0</v>
      </c>
      <c r="I18" s="5" t="n">
        <v>1</v>
      </c>
      <c r="J18" s="5" t="n">
        <v>0.5</v>
      </c>
      <c r="K18" s="5" t="n">
        <v>0</v>
      </c>
      <c r="L18" s="6" t="n">
        <f aca="false">AVERAGE(H18:K18)</f>
        <v>0.375</v>
      </c>
    </row>
    <row r="19" customFormat="false" ht="26.85" hidden="false" customHeight="false" outlineLevel="0" collapsed="false">
      <c r="A19" s="4" t="n">
        <v>15</v>
      </c>
      <c r="B19" s="4" t="s">
        <v>49</v>
      </c>
      <c r="C19" s="4" t="s">
        <v>58</v>
      </c>
      <c r="D19" s="4" t="s">
        <v>43</v>
      </c>
      <c r="E19" s="4" t="s">
        <v>32</v>
      </c>
      <c r="F19" s="4" t="s">
        <v>18</v>
      </c>
      <c r="G19" s="4" t="s">
        <v>59</v>
      </c>
      <c r="H19" s="5" t="n">
        <v>1</v>
      </c>
      <c r="I19" s="5" t="n">
        <v>1</v>
      </c>
      <c r="J19" s="5" t="n">
        <v>0.5</v>
      </c>
      <c r="K19" s="5" t="n">
        <v>0.5</v>
      </c>
      <c r="L19" s="6" t="n">
        <f aca="false">AVERAGE(H19:K19)</f>
        <v>0.75</v>
      </c>
    </row>
    <row r="20" customFormat="false" ht="15" hidden="false" customHeight="false" outlineLevel="0" collapsed="false">
      <c r="A20" s="4" t="n">
        <v>16</v>
      </c>
      <c r="B20" s="4" t="s">
        <v>49</v>
      </c>
      <c r="C20" s="4" t="s">
        <v>60</v>
      </c>
      <c r="D20" s="4" t="s">
        <v>43</v>
      </c>
      <c r="E20" s="4" t="s">
        <v>53</v>
      </c>
      <c r="F20" s="4" t="s">
        <v>54</v>
      </c>
      <c r="G20" s="4" t="s">
        <v>55</v>
      </c>
      <c r="H20" s="5" t="n">
        <v>0</v>
      </c>
      <c r="I20" s="5" t="n">
        <v>1</v>
      </c>
      <c r="J20" s="5" t="n">
        <v>0.5</v>
      </c>
      <c r="K20" s="5" t="n">
        <v>0</v>
      </c>
      <c r="L20" s="6" t="n">
        <f aca="false">AVERAGE(H20:K20)</f>
        <v>0.375</v>
      </c>
    </row>
    <row r="21" customFormat="false" ht="15" hidden="false" customHeight="false" outlineLevel="0" collapsed="false">
      <c r="A21" s="4" t="n">
        <v>17</v>
      </c>
      <c r="B21" s="4" t="s">
        <v>49</v>
      </c>
      <c r="C21" s="4" t="s">
        <v>61</v>
      </c>
      <c r="D21" s="4" t="s">
        <v>43</v>
      </c>
      <c r="E21" s="4" t="s">
        <v>53</v>
      </c>
      <c r="F21" s="4" t="s">
        <v>54</v>
      </c>
      <c r="G21" s="4" t="s">
        <v>62</v>
      </c>
      <c r="H21" s="5" t="n">
        <v>0</v>
      </c>
      <c r="I21" s="5" t="n">
        <v>1</v>
      </c>
      <c r="J21" s="5" t="n">
        <v>0.5</v>
      </c>
      <c r="K21" s="5" t="n">
        <v>0</v>
      </c>
      <c r="L21" s="6" t="n">
        <f aca="false">AVERAGE(H21:K21)</f>
        <v>0.375</v>
      </c>
    </row>
    <row r="22" customFormat="false" ht="26.85" hidden="false" customHeight="false" outlineLevel="0" collapsed="false">
      <c r="A22" s="4" t="n">
        <v>18</v>
      </c>
      <c r="B22" s="4" t="s">
        <v>49</v>
      </c>
      <c r="C22" s="4" t="s">
        <v>63</v>
      </c>
      <c r="D22" s="4" t="s">
        <v>35</v>
      </c>
      <c r="E22" s="4" t="s">
        <v>32</v>
      </c>
      <c r="F22" s="4" t="s">
        <v>18</v>
      </c>
      <c r="G22" s="4" t="s">
        <v>64</v>
      </c>
      <c r="H22" s="5" t="n">
        <v>1</v>
      </c>
      <c r="I22" s="5" t="n">
        <v>1</v>
      </c>
      <c r="J22" s="5" t="n">
        <v>0.5</v>
      </c>
      <c r="K22" s="5" t="n">
        <v>0.5</v>
      </c>
      <c r="L22" s="6" t="n">
        <f aca="false">AVERAGE(H22:K22)</f>
        <v>0.75</v>
      </c>
    </row>
    <row r="23" customFormat="false" ht="26.85" hidden="false" customHeight="false" outlineLevel="0" collapsed="false">
      <c r="A23" s="4" t="n">
        <v>19</v>
      </c>
      <c r="B23" s="4" t="s">
        <v>49</v>
      </c>
      <c r="C23" s="4" t="s">
        <v>65</v>
      </c>
      <c r="D23" s="4" t="s">
        <v>35</v>
      </c>
      <c r="E23" s="4" t="s">
        <v>53</v>
      </c>
      <c r="F23" s="4" t="s">
        <v>54</v>
      </c>
      <c r="G23" s="4" t="s">
        <v>66</v>
      </c>
      <c r="H23" s="5" t="n">
        <v>0</v>
      </c>
      <c r="I23" s="5" t="n">
        <v>1</v>
      </c>
      <c r="J23" s="5" t="n">
        <v>0.5</v>
      </c>
      <c r="K23" s="5" t="n">
        <v>0</v>
      </c>
      <c r="L23" s="6" t="n">
        <f aca="false">AVERAGE(H23:K23)</f>
        <v>0.375</v>
      </c>
    </row>
    <row r="24" customFormat="false" ht="26.85" hidden="false" customHeight="false" outlineLevel="0" collapsed="false">
      <c r="A24" s="4" t="n">
        <v>20</v>
      </c>
      <c r="B24" s="4" t="s">
        <v>49</v>
      </c>
      <c r="C24" s="4" t="s">
        <v>67</v>
      </c>
      <c r="D24" s="4" t="s">
        <v>35</v>
      </c>
      <c r="E24" s="4" t="s">
        <v>53</v>
      </c>
      <c r="F24" s="4" t="s">
        <v>54</v>
      </c>
      <c r="G24" s="4" t="s">
        <v>68</v>
      </c>
      <c r="H24" s="5" t="n">
        <v>0</v>
      </c>
      <c r="I24" s="5" t="n">
        <v>1</v>
      </c>
      <c r="J24" s="5" t="n">
        <v>0.5</v>
      </c>
      <c r="K24" s="5" t="n">
        <v>0</v>
      </c>
      <c r="L24" s="6" t="n">
        <f aca="false">AVERAGE(H24:K24)</f>
        <v>0.375</v>
      </c>
    </row>
    <row r="25" customFormat="false" ht="26.85" hidden="false" customHeight="false" outlineLevel="0" collapsed="false">
      <c r="A25" s="4" t="n">
        <v>21</v>
      </c>
      <c r="B25" s="4" t="s">
        <v>69</v>
      </c>
      <c r="C25" s="4" t="s">
        <v>70</v>
      </c>
      <c r="D25" s="4" t="s">
        <v>16</v>
      </c>
      <c r="E25" s="4" t="s">
        <v>32</v>
      </c>
      <c r="F25" s="4" t="s">
        <v>18</v>
      </c>
      <c r="G25" s="4" t="s">
        <v>71</v>
      </c>
      <c r="H25" s="5" t="n">
        <v>0</v>
      </c>
      <c r="I25" s="5" t="n">
        <v>1</v>
      </c>
      <c r="J25" s="5" t="n">
        <v>1</v>
      </c>
      <c r="K25" s="5" t="n">
        <v>0.5</v>
      </c>
      <c r="L25" s="6" t="n">
        <f aca="false">AVERAGE(H25:K25)</f>
        <v>0.625</v>
      </c>
    </row>
    <row r="26" customFormat="false" ht="15" hidden="false" customHeight="false" outlineLevel="0" collapsed="false">
      <c r="A26" s="4" t="n">
        <v>22</v>
      </c>
      <c r="B26" s="4" t="s">
        <v>69</v>
      </c>
      <c r="C26" s="4" t="s">
        <v>72</v>
      </c>
      <c r="D26" s="4" t="s">
        <v>16</v>
      </c>
      <c r="E26" s="4" t="s">
        <v>53</v>
      </c>
      <c r="F26" s="4" t="s">
        <v>18</v>
      </c>
      <c r="G26" s="4" t="s">
        <v>73</v>
      </c>
      <c r="H26" s="5" t="n">
        <v>0</v>
      </c>
      <c r="I26" s="5" t="n">
        <v>1</v>
      </c>
      <c r="J26" s="5" t="n">
        <v>0.5</v>
      </c>
      <c r="K26" s="5" t="n">
        <v>1</v>
      </c>
      <c r="L26" s="6" t="n">
        <f aca="false">AVERAGE(H26:K26)</f>
        <v>0.625</v>
      </c>
    </row>
    <row r="27" customFormat="false" ht="26.85" hidden="false" customHeight="false" outlineLevel="0" collapsed="false">
      <c r="A27" s="4" t="n">
        <v>23</v>
      </c>
      <c r="B27" s="4" t="s">
        <v>69</v>
      </c>
      <c r="C27" s="4" t="s">
        <v>74</v>
      </c>
      <c r="D27" s="4" t="s">
        <v>16</v>
      </c>
      <c r="E27" s="4" t="s">
        <v>32</v>
      </c>
      <c r="F27" s="4" t="s">
        <v>54</v>
      </c>
      <c r="G27" s="4" t="s">
        <v>75</v>
      </c>
      <c r="H27" s="5" t="n">
        <v>0.25</v>
      </c>
      <c r="I27" s="5" t="n">
        <v>1</v>
      </c>
      <c r="J27" s="5" t="n">
        <v>1</v>
      </c>
      <c r="K27" s="5" t="n">
        <v>1</v>
      </c>
      <c r="L27" s="6" t="n">
        <f aca="false">AVERAGE(H27:K27)</f>
        <v>0.8125</v>
      </c>
    </row>
    <row r="28" customFormat="false" ht="26.85" hidden="false" customHeight="false" outlineLevel="0" collapsed="false">
      <c r="A28" s="4" t="n">
        <v>24</v>
      </c>
      <c r="B28" s="4" t="s">
        <v>76</v>
      </c>
      <c r="C28" s="4" t="s">
        <v>77</v>
      </c>
      <c r="D28" s="4" t="s">
        <v>16</v>
      </c>
      <c r="E28" s="4" t="s">
        <v>32</v>
      </c>
      <c r="F28" s="4" t="s">
        <v>18</v>
      </c>
      <c r="G28" s="4" t="s">
        <v>78</v>
      </c>
      <c r="H28" s="5" t="n">
        <v>0.5</v>
      </c>
      <c r="I28" s="5" t="n">
        <v>1</v>
      </c>
      <c r="J28" s="5" t="n">
        <v>1</v>
      </c>
      <c r="K28" s="5" t="n">
        <v>0.5</v>
      </c>
      <c r="L28" s="6" t="n">
        <f aca="false">AVERAGE(H28:K28)</f>
        <v>0.75</v>
      </c>
    </row>
    <row r="29" customFormat="false" ht="15" hidden="false" customHeight="false" outlineLevel="0" collapsed="false">
      <c r="A29" s="4" t="n">
        <v>25</v>
      </c>
      <c r="B29" s="4" t="s">
        <v>76</v>
      </c>
      <c r="C29" s="4" t="s">
        <v>79</v>
      </c>
      <c r="D29" s="4" t="s">
        <v>16</v>
      </c>
      <c r="E29" s="4" t="s">
        <v>32</v>
      </c>
      <c r="F29" s="4" t="s">
        <v>54</v>
      </c>
      <c r="G29" s="4" t="s">
        <v>80</v>
      </c>
      <c r="H29" s="5" t="n">
        <v>0</v>
      </c>
      <c r="I29" s="5" t="n">
        <v>1</v>
      </c>
      <c r="J29" s="5" t="n">
        <v>1</v>
      </c>
      <c r="K29" s="5" t="n">
        <v>0.25</v>
      </c>
      <c r="L29" s="6" t="n">
        <f aca="false">AVERAGE(H29:K29)</f>
        <v>0.5625</v>
      </c>
    </row>
    <row r="30" customFormat="false" ht="15" hidden="false" customHeight="false" outlineLevel="0" collapsed="false">
      <c r="A30" s="4" t="n">
        <v>26</v>
      </c>
      <c r="B30" s="4" t="s">
        <v>76</v>
      </c>
      <c r="C30" s="4" t="s">
        <v>81</v>
      </c>
      <c r="D30" s="4" t="s">
        <v>16</v>
      </c>
      <c r="E30" s="4" t="s">
        <v>53</v>
      </c>
      <c r="F30" s="4" t="s">
        <v>18</v>
      </c>
      <c r="G30" s="4" t="s">
        <v>82</v>
      </c>
      <c r="H30" s="5" t="n">
        <v>0</v>
      </c>
      <c r="I30" s="5" t="n">
        <v>1</v>
      </c>
      <c r="J30" s="5" t="n">
        <v>1</v>
      </c>
      <c r="K30" s="5" t="n">
        <v>0.25</v>
      </c>
      <c r="L30" s="6" t="n">
        <f aca="false">AVERAGE(H30:K30)</f>
        <v>0.5625</v>
      </c>
    </row>
    <row r="31" customFormat="false" ht="15" hidden="false" customHeight="false" outlineLevel="0" collapsed="false">
      <c r="A31" s="4" t="n">
        <v>27</v>
      </c>
      <c r="B31" s="4" t="s">
        <v>76</v>
      </c>
      <c r="C31" s="4" t="s">
        <v>83</v>
      </c>
      <c r="D31" s="4" t="s">
        <v>16</v>
      </c>
      <c r="E31" s="4" t="s">
        <v>53</v>
      </c>
      <c r="F31" s="4" t="s">
        <v>18</v>
      </c>
      <c r="G31" s="4" t="s">
        <v>84</v>
      </c>
      <c r="H31" s="5" t="n">
        <v>0</v>
      </c>
      <c r="I31" s="5" t="n">
        <v>0.5</v>
      </c>
      <c r="J31" s="5" t="n">
        <v>1</v>
      </c>
      <c r="K31" s="5" t="n">
        <v>0.5</v>
      </c>
      <c r="L31" s="6" t="n">
        <f aca="false">AVERAGE(H31:K31)</f>
        <v>0.5</v>
      </c>
    </row>
    <row r="32" customFormat="false" ht="15" hidden="false" customHeight="false" outlineLevel="0" collapsed="false">
      <c r="A32" s="4" t="n">
        <v>28</v>
      </c>
      <c r="B32" s="4" t="s">
        <v>76</v>
      </c>
      <c r="C32" s="4" t="s">
        <v>85</v>
      </c>
      <c r="D32" s="4" t="s">
        <v>16</v>
      </c>
      <c r="E32" s="4" t="s">
        <v>86</v>
      </c>
      <c r="F32" s="4" t="s">
        <v>54</v>
      </c>
      <c r="G32" s="4" t="s">
        <v>87</v>
      </c>
      <c r="H32" s="5" t="n">
        <v>0</v>
      </c>
      <c r="I32" s="5" t="n">
        <v>0.5</v>
      </c>
      <c r="J32" s="5" t="n">
        <v>1</v>
      </c>
      <c r="K32" s="5" t="n">
        <v>0.25</v>
      </c>
      <c r="L32" s="6" t="n">
        <f aca="false">AVERAGE(H32:K32)</f>
        <v>0.4375</v>
      </c>
    </row>
    <row r="33" customFormat="false" ht="15" hidden="false" customHeight="false" outlineLevel="0" collapsed="false">
      <c r="A33" s="4" t="n">
        <v>29</v>
      </c>
      <c r="B33" s="4" t="s">
        <v>76</v>
      </c>
      <c r="C33" s="4" t="s">
        <v>88</v>
      </c>
      <c r="D33" s="4" t="s">
        <v>16</v>
      </c>
      <c r="E33" s="4" t="s">
        <v>86</v>
      </c>
      <c r="F33" s="4" t="s">
        <v>54</v>
      </c>
      <c r="G33" s="4" t="s">
        <v>87</v>
      </c>
      <c r="H33" s="5" t="n">
        <v>0</v>
      </c>
      <c r="I33" s="5" t="n">
        <v>0.5</v>
      </c>
      <c r="J33" s="5" t="n">
        <v>1</v>
      </c>
      <c r="K33" s="5" t="n">
        <v>0.25</v>
      </c>
      <c r="L33" s="6" t="n">
        <f aca="false">AVERAGE(H33:K33)</f>
        <v>0.4375</v>
      </c>
    </row>
    <row r="34" customFormat="false" ht="26.85" hidden="false" customHeight="false" outlineLevel="0" collapsed="false">
      <c r="A34" s="4" t="n">
        <v>30</v>
      </c>
      <c r="B34" s="4" t="s">
        <v>89</v>
      </c>
      <c r="C34" s="4" t="s">
        <v>90</v>
      </c>
      <c r="D34" s="4" t="s">
        <v>16</v>
      </c>
      <c r="E34" s="4" t="s">
        <v>91</v>
      </c>
      <c r="F34" s="4" t="s">
        <v>18</v>
      </c>
      <c r="G34" s="4" t="s">
        <v>92</v>
      </c>
      <c r="H34" s="5" t="n">
        <v>0.5</v>
      </c>
      <c r="I34" s="5" t="n">
        <v>0.25</v>
      </c>
      <c r="J34" s="5" t="n">
        <v>0.5</v>
      </c>
      <c r="K34" s="5" t="n">
        <v>1</v>
      </c>
      <c r="L34" s="6" t="n">
        <f aca="false">AVERAGE(H34:K34)</f>
        <v>0.5625</v>
      </c>
    </row>
    <row r="35" customFormat="false" ht="15" hidden="false" customHeight="false" outlineLevel="0" collapsed="false">
      <c r="A35" s="7"/>
      <c r="B35" s="7"/>
      <c r="C35" s="7" t="s">
        <v>93</v>
      </c>
      <c r="D35" s="7"/>
      <c r="E35" s="7"/>
      <c r="F35" s="7"/>
      <c r="G35" s="7"/>
      <c r="H35" s="8" t="n">
        <f aca="false">SUM(H5:H34)</f>
        <v>14.25</v>
      </c>
      <c r="I35" s="8" t="n">
        <f aca="false">SUM(I5:I34)</f>
        <v>26.5</v>
      </c>
      <c r="J35" s="8" t="n">
        <f aca="false">SUM(J5:J34)</f>
        <v>18.75</v>
      </c>
      <c r="K35" s="8" t="n">
        <f aca="false">SUM(K5:K34)</f>
        <v>11</v>
      </c>
      <c r="L35" s="8" t="n">
        <f aca="false">SUM(L5:L34)</f>
        <v>17.625</v>
      </c>
    </row>
    <row r="36" customFormat="false" ht="15" hidden="false" customHeight="false" outlineLevel="0" collapsed="false">
      <c r="A36" s="7"/>
      <c r="B36" s="7"/>
      <c r="C36" s="7" t="s">
        <v>94</v>
      </c>
      <c r="D36" s="7"/>
      <c r="E36" s="7"/>
      <c r="F36" s="7"/>
      <c r="G36" s="7"/>
      <c r="H36" s="8" t="n">
        <f aca="false">SUMIFS(H5:H34,$F$5:$F$34,"Onshore")</f>
        <v>14</v>
      </c>
      <c r="I36" s="8" t="n">
        <f aca="false">SUMIFS(I5:I34,$F$5:$F$34,"Onshore")</f>
        <v>17.5</v>
      </c>
      <c r="J36" s="8" t="n">
        <f aca="false">SUMIFS(J5:J34,$F$5:$F$34,"Onshore")</f>
        <v>11.75</v>
      </c>
      <c r="K36" s="8" t="n">
        <f aca="false">SUMIFS(K5:K34,$F$5:$F$34,"Onshore")</f>
        <v>9.25</v>
      </c>
      <c r="L36" s="8" t="n">
        <f aca="false">SUMIFS(L5:L34,$F$5:$F$34,"Onshore")</f>
        <v>13.125</v>
      </c>
    </row>
    <row r="37" customFormat="false" ht="15" hidden="false" customHeight="false" outlineLevel="0" collapsed="false">
      <c r="A37" s="7"/>
      <c r="B37" s="7"/>
      <c r="C37" s="7" t="s">
        <v>95</v>
      </c>
      <c r="D37" s="7"/>
      <c r="E37" s="7"/>
      <c r="F37" s="7"/>
      <c r="G37" s="7"/>
      <c r="H37" s="8" t="n">
        <f aca="false">SUMIFS(H5:H34,$F$5:$F$34,"Offshore")</f>
        <v>0.25</v>
      </c>
      <c r="I37" s="8" t="n">
        <f aca="false">SUMIFS(I5:I34,$F$5:$F$34,"Offshore")</f>
        <v>9</v>
      </c>
      <c r="J37" s="8" t="n">
        <f aca="false">SUMIFS(J5:J34,$F$5:$F$34,"Offshore")</f>
        <v>7</v>
      </c>
      <c r="K37" s="8" t="n">
        <f aca="false">SUMIFS(K5:K34,$F$5:$F$34,"Offshore")</f>
        <v>1.75</v>
      </c>
      <c r="L37" s="8" t="n">
        <f aca="false">SUMIFS(L5:L34,$F$5:$F$34,"Offshore")</f>
        <v>4.5</v>
      </c>
    </row>
    <row r="38" customFormat="false" ht="15" hidden="false" customHeight="false" outlineLevel="0" collapsed="false">
      <c r="A38" s="7"/>
      <c r="B38" s="7"/>
      <c r="C38" s="7" t="s">
        <v>96</v>
      </c>
      <c r="D38" s="7"/>
      <c r="E38" s="7"/>
      <c r="F38" s="7"/>
      <c r="G38" s="7"/>
      <c r="H38" s="9" t="n">
        <f aca="false">COUNTA(C5:C34)</f>
        <v>30</v>
      </c>
      <c r="I38" s="8"/>
      <c r="J38" s="8"/>
      <c r="K38" s="8"/>
      <c r="L38" s="8"/>
    </row>
  </sheetData>
  <autoFilter ref="A4:L3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15"/>
    <col collapsed="false" customWidth="true" hidden="false" outlineLevel="0" max="4" min="4" style="0" width="12"/>
    <col collapsed="false" customWidth="true" hidden="false" outlineLevel="0" max="5" min="5" style="0" width="4"/>
  </cols>
  <sheetData>
    <row r="1" customFormat="false" ht="17.35" hidden="false" customHeight="false" outlineLevel="0" collapsed="false">
      <c r="A1" s="1" t="s">
        <v>97</v>
      </c>
    </row>
    <row r="3" customFormat="false" ht="15" hidden="false" customHeight="false" outlineLevel="0" collapsed="false">
      <c r="A3" s="3" t="s">
        <v>5</v>
      </c>
      <c r="B3" s="3" t="s">
        <v>98</v>
      </c>
      <c r="C3" s="3" t="s">
        <v>99</v>
      </c>
      <c r="D3" s="3" t="s">
        <v>100</v>
      </c>
    </row>
    <row r="4" customFormat="false" ht="15" hidden="false" customHeight="false" outlineLevel="0" collapsed="false">
      <c r="A4" s="10" t="s">
        <v>39</v>
      </c>
      <c r="B4" s="11" t="n">
        <f aca="false">COUNTIFS('Staffing plan'!$D$5:$D$34,E4,'Staffing plan'!$F$5:$F$34,"Onshore")</f>
        <v>2</v>
      </c>
      <c r="C4" s="11" t="n">
        <f aca="false">COUNTIFS('Staffing plan'!$D$5:$D$34,E4,'Staffing plan'!$F$5:$F$34,"Offshore")</f>
        <v>2</v>
      </c>
      <c r="D4" s="12" t="n">
        <f aca="false">SUMIFS('Staffing plan'!$I$5:$I$34,'Staffing plan'!$D$5:$D$34,E4)</f>
        <v>4</v>
      </c>
      <c r="E4" s="13" t="s">
        <v>39</v>
      </c>
    </row>
    <row r="5" customFormat="false" ht="15" hidden="false" customHeight="false" outlineLevel="0" collapsed="false">
      <c r="A5" s="10" t="s">
        <v>43</v>
      </c>
      <c r="B5" s="11" t="n">
        <f aca="false">COUNTIFS('Staffing plan'!$D$5:$D$34,E5,'Staffing plan'!$F$5:$F$34,"Onshore")</f>
        <v>2</v>
      </c>
      <c r="C5" s="11" t="n">
        <f aca="false">COUNTIFS('Staffing plan'!$D$5:$D$34,E5,'Staffing plan'!$F$5:$F$34,"Offshore")</f>
        <v>2</v>
      </c>
      <c r="D5" s="12" t="n">
        <f aca="false">SUMIFS('Staffing plan'!$I$5:$I$34,'Staffing plan'!$D$5:$D$34,E5)</f>
        <v>4</v>
      </c>
      <c r="E5" s="13" t="s">
        <v>43</v>
      </c>
    </row>
    <row r="6" customFormat="false" ht="15" hidden="false" customHeight="false" outlineLevel="0" collapsed="false">
      <c r="A6" s="10" t="s">
        <v>35</v>
      </c>
      <c r="B6" s="11" t="n">
        <f aca="false">COUNTIFS('Staffing plan'!$D$5:$D$34,E6,'Staffing plan'!$F$5:$F$34,"Onshore")</f>
        <v>3</v>
      </c>
      <c r="C6" s="11" t="n">
        <f aca="false">COUNTIFS('Staffing plan'!$D$5:$D$34,E6,'Staffing plan'!$F$5:$F$34,"Offshore")</f>
        <v>2</v>
      </c>
      <c r="D6" s="12" t="n">
        <f aca="false">SUMIFS('Staffing plan'!$I$5:$I$34,'Staffing plan'!$D$5:$D$34,E6)</f>
        <v>5</v>
      </c>
      <c r="E6" s="13" t="s">
        <v>35</v>
      </c>
    </row>
    <row r="7" customFormat="false" ht="15" hidden="false" customHeight="false" outlineLevel="0" collapsed="false">
      <c r="A7" s="10" t="s">
        <v>101</v>
      </c>
      <c r="B7" s="11" t="n">
        <f aca="false">COUNTIFS('Staffing plan'!$D$5:$D$34,E7,'Staffing plan'!$F$5:$F$34,"Onshore")</f>
        <v>13</v>
      </c>
      <c r="C7" s="11" t="n">
        <f aca="false">COUNTIFS('Staffing plan'!$D$5:$D$34,E7,'Staffing plan'!$F$5:$F$34,"Offshore")</f>
        <v>4</v>
      </c>
      <c r="D7" s="12" t="n">
        <f aca="false">SUMIFS('Staffing plan'!$I$5:$I$34,'Staffing plan'!$D$5:$D$34,E7)</f>
        <v>13.5</v>
      </c>
      <c r="E7" s="13" t="s">
        <v>16</v>
      </c>
    </row>
    <row r="8" customFormat="false" ht="15" hidden="false" customHeight="false" outlineLevel="0" collapsed="false">
      <c r="A8" s="7" t="s">
        <v>102</v>
      </c>
      <c r="B8" s="7" t="n">
        <f aca="false">SUM(B4:B7)</f>
        <v>20</v>
      </c>
      <c r="C8" s="7" t="n">
        <f aca="false">SUM(C4:C7)</f>
        <v>10</v>
      </c>
      <c r="D8" s="8" t="n">
        <f aca="false">SUM(D4:D7)</f>
        <v>26.5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 collapsed="false" customWidth="true" hidden="false" outlineLevel="0" max="2" min="2" style="0" width="22"/>
  </cols>
  <sheetData>
    <row r="1" customFormat="false" ht="17.35" hidden="false" customHeight="false" outlineLevel="0" collapsed="false">
      <c r="A1" s="1" t="s">
        <v>103</v>
      </c>
    </row>
    <row r="3" customFormat="false" ht="15" hidden="false" customHeight="false" outlineLevel="0" collapsed="false">
      <c r="A3" s="3" t="s">
        <v>104</v>
      </c>
      <c r="B3" s="3" t="s">
        <v>105</v>
      </c>
    </row>
    <row r="4" customFormat="false" ht="15" hidden="false" customHeight="false" outlineLevel="0" collapsed="false">
      <c r="A4" s="4" t="s">
        <v>106</v>
      </c>
      <c r="B4" s="4" t="s">
        <v>107</v>
      </c>
    </row>
    <row r="5" customFormat="false" ht="15" hidden="false" customHeight="false" outlineLevel="0" collapsed="false">
      <c r="A5" s="4" t="s">
        <v>108</v>
      </c>
      <c r="B5" s="4" t="s">
        <v>109</v>
      </c>
    </row>
    <row r="6" customFormat="false" ht="15" hidden="false" customHeight="false" outlineLevel="0" collapsed="false">
      <c r="A6" s="4" t="s">
        <v>110</v>
      </c>
      <c r="B6" s="4" t="s">
        <v>107</v>
      </c>
    </row>
    <row r="7" customFormat="false" ht="26.85" hidden="false" customHeight="false" outlineLevel="0" collapsed="false">
      <c r="A7" s="4" t="s">
        <v>111</v>
      </c>
      <c r="B7" s="4" t="s">
        <v>107</v>
      </c>
    </row>
    <row r="8" customFormat="false" ht="15" hidden="false" customHeight="false" outlineLevel="0" collapsed="false">
      <c r="A8" s="4" t="s">
        <v>112</v>
      </c>
      <c r="B8" s="4" t="s">
        <v>109</v>
      </c>
    </row>
    <row r="9" customFormat="false" ht="15" hidden="false" customHeight="false" outlineLevel="0" collapsed="false">
      <c r="A9" s="4" t="s">
        <v>113</v>
      </c>
      <c r="B9" s="4" t="s">
        <v>109</v>
      </c>
    </row>
    <row r="10" customFormat="false" ht="26.85" hidden="false" customHeight="false" outlineLevel="0" collapsed="false">
      <c r="A10" s="4" t="s">
        <v>114</v>
      </c>
      <c r="B10" s="4" t="s">
        <v>107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60"/>
  </cols>
  <sheetData>
    <row r="1" customFormat="false" ht="17.35" hidden="false" customHeight="false" outlineLevel="0" collapsed="false">
      <c r="A1" s="1" t="s">
        <v>115</v>
      </c>
    </row>
    <row r="3" customFormat="false" ht="15" hidden="false" customHeight="false" outlineLevel="0" collapsed="false">
      <c r="A3" s="3" t="s">
        <v>4</v>
      </c>
      <c r="B3" s="3" t="s">
        <v>116</v>
      </c>
    </row>
    <row r="4" customFormat="false" ht="15" hidden="false" customHeight="false" outlineLevel="0" collapsed="false">
      <c r="A4" s="4" t="s">
        <v>117</v>
      </c>
      <c r="B4" s="4" t="s">
        <v>118</v>
      </c>
    </row>
    <row r="5" customFormat="false" ht="15" hidden="false" customHeight="false" outlineLevel="0" collapsed="false">
      <c r="A5" s="4" t="s">
        <v>119</v>
      </c>
      <c r="B5" s="4" t="s">
        <v>120</v>
      </c>
    </row>
    <row r="6" customFormat="false" ht="15" hidden="false" customHeight="false" outlineLevel="0" collapsed="false">
      <c r="A6" s="4" t="s">
        <v>121</v>
      </c>
      <c r="B6" s="4" t="s">
        <v>122</v>
      </c>
    </row>
    <row r="7" customFormat="false" ht="15" hidden="false" customHeight="false" outlineLevel="0" collapsed="false">
      <c r="A7" s="4" t="s">
        <v>123</v>
      </c>
      <c r="B7" s="4" t="s">
        <v>124</v>
      </c>
    </row>
    <row r="8" customFormat="false" ht="15" hidden="false" customHeight="false" outlineLevel="0" collapsed="false">
      <c r="A8" s="4" t="s">
        <v>125</v>
      </c>
      <c r="B8" s="4" t="s">
        <v>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17.35" hidden="false" customHeight="false" outlineLevel="0" collapsed="false">
      <c r="A1" s="1" t="s">
        <v>127</v>
      </c>
    </row>
    <row r="3" customFormat="false" ht="15" hidden="false" customHeight="false" outlineLevel="0" collapsed="false">
      <c r="A3" s="3" t="s">
        <v>128</v>
      </c>
      <c r="B3" s="3" t="s">
        <v>129</v>
      </c>
    </row>
    <row r="4" customFormat="false" ht="26.85" hidden="false" customHeight="false" outlineLevel="0" collapsed="false">
      <c r="A4" s="4" t="s">
        <v>130</v>
      </c>
      <c r="B4" s="4" t="s">
        <v>131</v>
      </c>
    </row>
    <row r="5" customFormat="false" ht="26.85" hidden="false" customHeight="false" outlineLevel="0" collapsed="false">
      <c r="A5" s="4" t="s">
        <v>34</v>
      </c>
      <c r="B5" s="4" t="s">
        <v>132</v>
      </c>
    </row>
    <row r="6" customFormat="false" ht="26.85" hidden="false" customHeight="false" outlineLevel="0" collapsed="false">
      <c r="A6" s="4" t="s">
        <v>133</v>
      </c>
      <c r="B6" s="4" t="s">
        <v>134</v>
      </c>
    </row>
    <row r="7" customFormat="false" ht="26.85" hidden="false" customHeight="false" outlineLevel="0" collapsed="false">
      <c r="A7" s="4" t="s">
        <v>135</v>
      </c>
      <c r="B7" s="4" t="s">
        <v>136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2026-10-23T21:02:01Z</dcterms:created>
  <dc:creator>openpyxl</dc:creator>
  <dc:description/>
  <dc:language>en-US</dc:language>
  <cp:lastModifiedBy/>
  <dcterms:modified xsi:type="dcterms:W3CDTF">2026-10-23T21:02:01Z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